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8_{758A2BDF-B2DF-45C5-B23E-02E8FE8E747A}" xr6:coauthVersionLast="47" xr6:coauthVersionMax="47" xr10:uidLastSave="{00000000-0000-0000-0000-000000000000}"/>
  <bookViews>
    <workbookView xWindow="-108" yWindow="-108" windowWidth="23256" windowHeight="12456" xr2:uid="{410F6C69-F4A8-4362-90A5-2764F9A17C3B}"/>
  </bookViews>
  <sheets>
    <sheet name="TOTAL" sheetId="1" r:id="rId1"/>
    <sheet name="PT" sheetId="2" r:id="rId2"/>
    <sheet name="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B16" i="1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B16" i="3"/>
</calcChain>
</file>

<file path=xl/sharedStrings.xml><?xml version="1.0" encoding="utf-8"?>
<sst xmlns="http://schemas.openxmlformats.org/spreadsheetml/2006/main" count="89" uniqueCount="31">
  <si>
    <r>
      <rPr>
        <b/>
        <sz val="8"/>
        <rFont val="Arial"/>
        <family val="2"/>
      </rPr>
      <t>Tot Dur</t>
    </r>
  </si>
  <si>
    <r>
      <rPr>
        <b/>
        <sz val="8"/>
        <rFont val="Arial"/>
        <family val="2"/>
      </rPr>
      <t>DIstancia Mts (m)</t>
    </r>
  </si>
  <si>
    <r>
      <rPr>
        <b/>
        <sz val="8"/>
        <rFont val="Arial"/>
        <family val="2"/>
      </rPr>
      <t>Mts/min</t>
    </r>
  </si>
  <si>
    <r>
      <rPr>
        <b/>
        <sz val="8"/>
        <rFont val="Arial"/>
        <family val="2"/>
      </rPr>
      <t xml:space="preserve">Mts
</t>
    </r>
    <r>
      <rPr>
        <b/>
        <sz val="8"/>
        <rFont val="Arial"/>
        <family val="2"/>
      </rPr>
      <t>15-20km/h</t>
    </r>
  </si>
  <si>
    <r>
      <rPr>
        <b/>
        <sz val="8"/>
        <rFont val="Arial"/>
        <family val="2"/>
      </rPr>
      <t xml:space="preserve">Mts
</t>
    </r>
    <r>
      <rPr>
        <b/>
        <sz val="8"/>
        <rFont val="Arial"/>
        <family val="2"/>
      </rPr>
      <t>20-25km/h</t>
    </r>
  </si>
  <si>
    <r>
      <rPr>
        <b/>
        <sz val="8"/>
        <rFont val="Arial"/>
        <family val="2"/>
      </rPr>
      <t>Mts min 20-25km/h</t>
    </r>
  </si>
  <si>
    <r>
      <rPr>
        <b/>
        <sz val="8"/>
        <rFont val="Arial"/>
        <family val="2"/>
      </rPr>
      <t>Mts +25 km/h</t>
    </r>
  </si>
  <si>
    <r>
      <rPr>
        <b/>
        <sz val="8"/>
        <rFont val="Arial"/>
        <family val="2"/>
      </rPr>
      <t xml:space="preserve">Mts min
</t>
    </r>
    <r>
      <rPr>
        <b/>
        <sz val="8"/>
        <rFont val="Arial"/>
        <family val="2"/>
      </rPr>
      <t>+25km/h</t>
    </r>
  </si>
  <si>
    <r>
      <rPr>
        <b/>
        <sz val="8"/>
        <rFont val="Arial"/>
        <family val="2"/>
      </rPr>
      <t>cantidad de sprint</t>
    </r>
  </si>
  <si>
    <r>
      <rPr>
        <b/>
        <sz val="8"/>
        <rFont val="Arial"/>
        <family val="2"/>
      </rPr>
      <t>Max Vel (km/h)</t>
    </r>
  </si>
  <si>
    <r>
      <rPr>
        <b/>
        <sz val="8"/>
        <rFont val="Arial"/>
        <family val="2"/>
      </rPr>
      <t>Alexander Diaz</t>
    </r>
  </si>
  <si>
    <r>
      <rPr>
        <b/>
        <sz val="8"/>
        <rFont val="Arial"/>
        <family val="2"/>
      </rPr>
      <t>Carlos Quintana</t>
    </r>
  </si>
  <si>
    <r>
      <rPr>
        <b/>
        <sz val="8"/>
        <rFont val="Arial"/>
        <family val="2"/>
      </rPr>
      <t>Cristian Paz</t>
    </r>
  </si>
  <si>
    <r>
      <rPr>
        <b/>
        <sz val="8"/>
        <rFont val="Arial"/>
        <family val="2"/>
      </rPr>
      <t>Ignacio Gariglio</t>
    </r>
  </si>
  <si>
    <r>
      <rPr>
        <b/>
        <sz val="8"/>
        <rFont val="Arial"/>
        <family val="2"/>
      </rPr>
      <t>Mariano Bracamonte</t>
    </r>
  </si>
  <si>
    <r>
      <rPr>
        <b/>
        <sz val="8"/>
        <rFont val="Arial"/>
        <family val="2"/>
      </rPr>
      <t>Milton Celiz</t>
    </r>
  </si>
  <si>
    <r>
      <rPr>
        <b/>
        <sz val="8"/>
        <rFont val="Arial"/>
        <family val="2"/>
      </rPr>
      <t>Nicolas Sansotre</t>
    </r>
  </si>
  <si>
    <r>
      <rPr>
        <b/>
        <sz val="8"/>
        <rFont val="Arial"/>
        <family val="2"/>
      </rPr>
      <t>Antony Alonso</t>
    </r>
  </si>
  <si>
    <r>
      <rPr>
        <b/>
        <sz val="8"/>
        <rFont val="Arial"/>
        <family val="2"/>
      </rPr>
      <t>Nicolas Watson</t>
    </r>
  </si>
  <si>
    <r>
      <rPr>
        <b/>
        <sz val="8"/>
        <rFont val="Arial"/>
        <family val="2"/>
      </rPr>
      <t>Nicolas Benegas</t>
    </r>
  </si>
  <si>
    <r>
      <rPr>
        <b/>
        <sz val="8"/>
        <rFont val="Arial"/>
        <family val="2"/>
      </rPr>
      <t>Tomas Gonzalez</t>
    </r>
  </si>
  <si>
    <r>
      <rPr>
        <b/>
        <sz val="8"/>
        <rFont val="Arial"/>
        <family val="2"/>
      </rPr>
      <t>Brian Sanchez</t>
    </r>
  </si>
  <si>
    <r>
      <rPr>
        <b/>
        <sz val="8"/>
        <rFont val="Arial"/>
        <family val="2"/>
      </rPr>
      <t>Pablo Monje</t>
    </r>
  </si>
  <si>
    <r>
      <rPr>
        <b/>
        <sz val="8"/>
        <rFont val="Arial"/>
        <family val="2"/>
      </rPr>
      <t>Jonatan Goitia</t>
    </r>
  </si>
  <si>
    <r>
      <rPr>
        <b/>
        <sz val="8"/>
        <rFont val="Arial"/>
        <family val="2"/>
      </rPr>
      <t>Promedio</t>
    </r>
  </si>
  <si>
    <r>
      <rPr>
        <b/>
        <sz val="8"/>
        <rFont val="Arial"/>
        <family val="2"/>
      </rPr>
      <t>Tot Acc Load</t>
    </r>
  </si>
  <si>
    <r>
      <rPr>
        <b/>
        <sz val="8"/>
        <rFont val="Arial"/>
        <family val="2"/>
      </rPr>
      <t>Acc +4m/ss</t>
    </r>
  </si>
  <si>
    <r>
      <rPr>
        <b/>
        <sz val="8"/>
        <rFont val="Arial"/>
        <family val="2"/>
      </rPr>
      <t>Acc B1 Effs (Gen 2)</t>
    </r>
  </si>
  <si>
    <r>
      <rPr>
        <b/>
        <sz val="8"/>
        <rFont val="Arial"/>
        <family val="2"/>
      </rPr>
      <t>RHIE Tot Bouts</t>
    </r>
  </si>
  <si>
    <r>
      <rPr>
        <b/>
        <sz val="8"/>
        <rFont val="Arial"/>
        <family val="2"/>
      </rPr>
      <t>Tot PL</t>
    </r>
  </si>
  <si>
    <r>
      <rPr>
        <b/>
        <sz val="8"/>
        <rFont val="Arial"/>
        <family val="2"/>
      </rPr>
      <t>PL Per Minute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</si>
</sst>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1" fillId="0" borderId="1" xfId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1"/>
    </xf>
    <xf numFmtId="0" fontId="1" fillId="0" borderId="1" xfId="1" applyFill="1" applyBorder="1" applyAlignment="1">
      <alignment horizontal="center" vertical="top" wrapText="1"/>
    </xf>
    <xf numFmtId="0" fontId="1" fillId="0" borderId="1" xfId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 indent="2"/>
    </xf>
    <xf numFmtId="0" fontId="2" fillId="0" borderId="2" xfId="1" applyFont="1" applyFill="1" applyBorder="1" applyAlignment="1">
      <alignment horizontal="left" vertical="top" wrapText="1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2" xfId="1" applyNumberFormat="1" applyFont="1" applyFill="1" applyBorder="1" applyAlignment="1">
      <alignment horizontal="right" vertical="top" indent="3" shrinkToFit="1"/>
    </xf>
    <xf numFmtId="1" fontId="3" fillId="0" borderId="2" xfId="1" applyNumberFormat="1" applyFont="1" applyFill="1" applyBorder="1" applyAlignment="1">
      <alignment horizontal="left" vertical="top" indent="3" shrinkToFit="1"/>
    </xf>
    <xf numFmtId="0" fontId="2" fillId="0" borderId="3" xfId="1" applyFont="1" applyFill="1" applyBorder="1" applyAlignment="1">
      <alignment horizontal="left" vertical="top" wrapTex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right" vertical="top" indent="3" shrinkToFit="1"/>
    </xf>
    <xf numFmtId="1" fontId="3" fillId="0" borderId="3" xfId="1" applyNumberFormat="1" applyFont="1" applyFill="1" applyBorder="1" applyAlignment="1">
      <alignment horizontal="left" vertical="top" indent="3" shrinkToFit="1"/>
    </xf>
    <xf numFmtId="0" fontId="2" fillId="2" borderId="3" xfId="1" applyFont="1" applyFill="1" applyBorder="1" applyAlignment="1">
      <alignment horizontal="left" vertical="top" wrapText="1"/>
    </xf>
    <xf numFmtId="1" fontId="3" fillId="2" borderId="3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2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0" fontId="1" fillId="0" borderId="1" xfId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1"/>
    </xf>
    <xf numFmtId="0" fontId="1" fillId="0" borderId="1" xfId="1" applyFill="1" applyBorder="1" applyAlignment="1">
      <alignment horizontal="center" vertical="top" wrapText="1"/>
    </xf>
    <xf numFmtId="0" fontId="1" fillId="0" borderId="1" xfId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 indent="2"/>
    </xf>
    <xf numFmtId="0" fontId="2" fillId="0" borderId="2" xfId="1" applyFont="1" applyFill="1" applyBorder="1" applyAlignment="1">
      <alignment horizontal="left" vertical="top" wrapText="1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2" xfId="1" applyNumberFormat="1" applyFont="1" applyFill="1" applyBorder="1" applyAlignment="1">
      <alignment horizontal="right" vertical="top" indent="3" shrinkToFit="1"/>
    </xf>
    <xf numFmtId="1" fontId="3" fillId="0" borderId="2" xfId="1" applyNumberFormat="1" applyFont="1" applyFill="1" applyBorder="1" applyAlignment="1">
      <alignment horizontal="left" vertical="top" indent="3" shrinkToFit="1"/>
    </xf>
    <xf numFmtId="0" fontId="2" fillId="0" borderId="3" xfId="1" applyFont="1" applyFill="1" applyBorder="1" applyAlignment="1">
      <alignment horizontal="left" vertical="top" wrapTex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right" vertical="top" indent="3" shrinkToFit="1"/>
    </xf>
    <xf numFmtId="1" fontId="3" fillId="0" borderId="3" xfId="1" applyNumberFormat="1" applyFont="1" applyFill="1" applyBorder="1" applyAlignment="1">
      <alignment horizontal="left" vertical="top" indent="3" shrinkToFit="1"/>
    </xf>
    <xf numFmtId="0" fontId="2" fillId="2" borderId="3" xfId="1" applyFont="1" applyFill="1" applyBorder="1" applyAlignment="1">
      <alignment horizontal="left" vertical="top" wrapText="1"/>
    </xf>
    <xf numFmtId="1" fontId="3" fillId="2" borderId="3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2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0" fontId="1" fillId="0" borderId="1" xfId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1"/>
    </xf>
    <xf numFmtId="0" fontId="1" fillId="0" borderId="1" xfId="1" applyFill="1" applyBorder="1" applyAlignment="1">
      <alignment horizontal="center" vertical="top" wrapText="1"/>
    </xf>
    <xf numFmtId="0" fontId="1" fillId="0" borderId="1" xfId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 indent="2"/>
    </xf>
    <xf numFmtId="0" fontId="2" fillId="0" borderId="2" xfId="1" applyFont="1" applyFill="1" applyBorder="1" applyAlignment="1">
      <alignment horizontal="left" vertical="top" wrapText="1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2" xfId="1" applyNumberFormat="1" applyFont="1" applyFill="1" applyBorder="1" applyAlignment="1">
      <alignment horizontal="right" vertical="top" indent="3" shrinkToFit="1"/>
    </xf>
    <xf numFmtId="1" fontId="3" fillId="0" borderId="2" xfId="1" applyNumberFormat="1" applyFont="1" applyFill="1" applyBorder="1" applyAlignment="1">
      <alignment horizontal="left" vertical="top" indent="3" shrinkToFit="1"/>
    </xf>
    <xf numFmtId="0" fontId="2" fillId="0" borderId="3" xfId="1" applyFont="1" applyFill="1" applyBorder="1" applyAlignment="1">
      <alignment horizontal="left" vertical="top" wrapTex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right" vertical="top" indent="3" shrinkToFit="1"/>
    </xf>
    <xf numFmtId="1" fontId="3" fillId="0" borderId="3" xfId="1" applyNumberFormat="1" applyFont="1" applyFill="1" applyBorder="1" applyAlignment="1">
      <alignment horizontal="left" vertical="top" indent="3" shrinkToFit="1"/>
    </xf>
    <xf numFmtId="0" fontId="2" fillId="2" borderId="3" xfId="1" applyFont="1" applyFill="1" applyBorder="1" applyAlignment="1">
      <alignment horizontal="left" vertical="top" wrapText="1"/>
    </xf>
    <xf numFmtId="1" fontId="3" fillId="2" borderId="3" xfId="1" applyNumberFormat="1" applyFont="1" applyFill="1" applyBorder="1" applyAlignment="1">
      <alignment horizontal="center" vertical="top" shrinkToFit="1"/>
    </xf>
    <xf numFmtId="2" fontId="3" fillId="2" borderId="3" xfId="1" applyNumberFormat="1" applyFont="1" applyFill="1" applyBorder="1" applyAlignment="1">
      <alignment horizontal="center" vertical="top" shrinkToFit="1"/>
    </xf>
    <xf numFmtId="1" fontId="3" fillId="2" borderId="3" xfId="1" applyNumberFormat="1" applyFont="1" applyFill="1" applyBorder="1" applyAlignment="1">
      <alignment horizontal="right" vertical="top" indent="3" shrinkToFit="1"/>
    </xf>
    <xf numFmtId="1" fontId="3" fillId="2" borderId="3" xfId="1" applyNumberFormat="1" applyFont="1" applyFill="1" applyBorder="1" applyAlignment="1">
      <alignment horizontal="left" vertical="top" indent="3" shrinkToFi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left" vertical="top" wrapText="1" indent="2"/>
    </xf>
    <xf numFmtId="1" fontId="3" fillId="0" borderId="2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1" fontId="3" fillId="0" borderId="3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  <xf numFmtId="1" fontId="3" fillId="2" borderId="3" xfId="1" applyNumberFormat="1" applyFont="1" applyFill="1" applyBorder="1" applyAlignment="1">
      <alignment horizontal="center" vertical="top" shrinkToFit="1"/>
    </xf>
    <xf numFmtId="2" fontId="3" fillId="2" borderId="3" xfId="1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 xr:uid="{94BF2F8F-C0EF-4570-AD6F-7C1F0E00E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3721-8FE3-4FE2-9A8B-255592DFAC12}">
  <dimension ref="A1:Q16"/>
  <sheetViews>
    <sheetView tabSelected="1" workbookViewId="0">
      <selection activeCell="B16" sqref="B16:Q16"/>
    </sheetView>
  </sheetViews>
  <sheetFormatPr baseColWidth="10" defaultRowHeight="14.4"/>
  <sheetData>
    <row r="1" spans="1:17" ht="20.399999999999999">
      <c r="A1" s="1"/>
      <c r="B1" s="2" t="s">
        <v>0</v>
      </c>
      <c r="C1" s="3" t="s">
        <v>1</v>
      </c>
      <c r="D1" s="2" t="s">
        <v>2</v>
      </c>
      <c r="E1" s="4" t="s">
        <v>3</v>
      </c>
      <c r="F1" s="4" t="s">
        <v>4</v>
      </c>
      <c r="G1" s="3" t="s">
        <v>5</v>
      </c>
      <c r="H1" s="2" t="s">
        <v>6</v>
      </c>
      <c r="I1" s="5" t="s">
        <v>7</v>
      </c>
      <c r="J1" s="3" t="s">
        <v>8</v>
      </c>
      <c r="K1" s="6" t="s">
        <v>9</v>
      </c>
      <c r="L1" s="19" t="s">
        <v>25</v>
      </c>
      <c r="M1" s="19" t="s">
        <v>26</v>
      </c>
      <c r="N1" s="20" t="s">
        <v>27</v>
      </c>
      <c r="O1" s="19" t="s">
        <v>28</v>
      </c>
      <c r="P1" s="19" t="s">
        <v>29</v>
      </c>
      <c r="Q1" s="19" t="s">
        <v>30</v>
      </c>
    </row>
    <row r="2" spans="1:17" ht="20.399999999999999">
      <c r="A2" s="7" t="s">
        <v>10</v>
      </c>
      <c r="B2" s="8">
        <v>95</v>
      </c>
      <c r="C2" s="8">
        <v>8951</v>
      </c>
      <c r="D2" s="9">
        <v>94.22</v>
      </c>
      <c r="E2" s="8">
        <v>907</v>
      </c>
      <c r="F2" s="8">
        <v>363</v>
      </c>
      <c r="G2" s="10">
        <v>4</v>
      </c>
      <c r="H2" s="8">
        <v>165</v>
      </c>
      <c r="I2" s="8">
        <v>2</v>
      </c>
      <c r="J2" s="8">
        <v>11</v>
      </c>
      <c r="K2" s="11">
        <v>29</v>
      </c>
      <c r="L2" s="21">
        <v>2533</v>
      </c>
      <c r="M2" s="21">
        <v>0</v>
      </c>
      <c r="N2" s="21">
        <v>62</v>
      </c>
      <c r="O2" s="21">
        <v>53</v>
      </c>
      <c r="P2" s="21">
        <v>871</v>
      </c>
      <c r="Q2" s="22">
        <v>9.17</v>
      </c>
    </row>
    <row r="3" spans="1:17" ht="20.399999999999999">
      <c r="A3" s="12" t="s">
        <v>11</v>
      </c>
      <c r="B3" s="13">
        <v>95</v>
      </c>
      <c r="C3" s="13">
        <v>8304</v>
      </c>
      <c r="D3" s="14">
        <v>87.41</v>
      </c>
      <c r="E3" s="13">
        <v>605</v>
      </c>
      <c r="F3" s="13">
        <v>126</v>
      </c>
      <c r="G3" s="15">
        <v>1</v>
      </c>
      <c r="H3" s="13">
        <v>10</v>
      </c>
      <c r="I3" s="13">
        <v>0</v>
      </c>
      <c r="J3" s="13">
        <v>1</v>
      </c>
      <c r="K3" s="16">
        <v>26</v>
      </c>
      <c r="L3" s="23">
        <v>2322</v>
      </c>
      <c r="M3" s="23">
        <v>0</v>
      </c>
      <c r="N3" s="23">
        <v>63</v>
      </c>
      <c r="O3" s="23">
        <v>52</v>
      </c>
      <c r="P3" s="23">
        <v>897</v>
      </c>
      <c r="Q3" s="24">
        <v>9.4499999999999993</v>
      </c>
    </row>
    <row r="4" spans="1:17">
      <c r="A4" s="12" t="s">
        <v>12</v>
      </c>
      <c r="B4" s="13">
        <v>95</v>
      </c>
      <c r="C4" s="13">
        <v>9669</v>
      </c>
      <c r="D4" s="14">
        <v>101.78</v>
      </c>
      <c r="E4" s="13">
        <v>884</v>
      </c>
      <c r="F4" s="13">
        <v>433</v>
      </c>
      <c r="G4" s="15">
        <v>5</v>
      </c>
      <c r="H4" s="13">
        <v>208</v>
      </c>
      <c r="I4" s="13">
        <v>2</v>
      </c>
      <c r="J4" s="13">
        <v>10</v>
      </c>
      <c r="K4" s="16">
        <v>30</v>
      </c>
      <c r="L4" s="23">
        <v>2875</v>
      </c>
      <c r="M4" s="23">
        <v>0</v>
      </c>
      <c r="N4" s="23">
        <v>67</v>
      </c>
      <c r="O4" s="23">
        <v>55</v>
      </c>
      <c r="P4" s="23">
        <v>813</v>
      </c>
      <c r="Q4" s="24">
        <v>8.56</v>
      </c>
    </row>
    <row r="5" spans="1:17" ht="20.399999999999999">
      <c r="A5" s="12" t="s">
        <v>13</v>
      </c>
      <c r="B5" s="13">
        <v>95</v>
      </c>
      <c r="C5" s="13">
        <v>9776</v>
      </c>
      <c r="D5" s="14">
        <v>102.9</v>
      </c>
      <c r="E5" s="13">
        <v>1040</v>
      </c>
      <c r="F5" s="13">
        <v>456</v>
      </c>
      <c r="G5" s="15">
        <v>5</v>
      </c>
      <c r="H5" s="13">
        <v>121</v>
      </c>
      <c r="I5" s="13">
        <v>1</v>
      </c>
      <c r="J5" s="13">
        <v>6</v>
      </c>
      <c r="K5" s="16">
        <v>30</v>
      </c>
      <c r="L5" s="23">
        <v>2766</v>
      </c>
      <c r="M5" s="23">
        <v>6</v>
      </c>
      <c r="N5" s="23">
        <v>69</v>
      </c>
      <c r="O5" s="23">
        <v>61</v>
      </c>
      <c r="P5" s="23">
        <v>928</v>
      </c>
      <c r="Q5" s="24">
        <v>9.77</v>
      </c>
    </row>
    <row r="6" spans="1:17" ht="20.399999999999999">
      <c r="A6" s="12" t="s">
        <v>14</v>
      </c>
      <c r="B6" s="13">
        <v>95</v>
      </c>
      <c r="C6" s="13">
        <v>9618</v>
      </c>
      <c r="D6" s="14">
        <v>101.25</v>
      </c>
      <c r="E6" s="13">
        <v>1091</v>
      </c>
      <c r="F6" s="13">
        <v>342</v>
      </c>
      <c r="G6" s="15">
        <v>4</v>
      </c>
      <c r="H6" s="13">
        <v>292</v>
      </c>
      <c r="I6" s="13">
        <v>3</v>
      </c>
      <c r="J6" s="13">
        <v>14</v>
      </c>
      <c r="K6" s="16">
        <v>30</v>
      </c>
      <c r="L6" s="23">
        <v>2708</v>
      </c>
      <c r="M6" s="23">
        <v>4</v>
      </c>
      <c r="N6" s="23">
        <v>63</v>
      </c>
      <c r="O6" s="23">
        <v>54</v>
      </c>
      <c r="P6" s="23">
        <v>931</v>
      </c>
      <c r="Q6" s="24">
        <v>9.8000000000000007</v>
      </c>
    </row>
    <row r="7" spans="1:17">
      <c r="A7" s="12" t="s">
        <v>15</v>
      </c>
      <c r="B7" s="13">
        <v>95</v>
      </c>
      <c r="C7" s="13">
        <v>10934</v>
      </c>
      <c r="D7" s="14">
        <v>115.1</v>
      </c>
      <c r="E7" s="13">
        <v>1838</v>
      </c>
      <c r="F7" s="13">
        <v>538</v>
      </c>
      <c r="G7" s="15">
        <v>6</v>
      </c>
      <c r="H7" s="13">
        <v>38</v>
      </c>
      <c r="I7" s="13">
        <v>0</v>
      </c>
      <c r="J7" s="13">
        <v>3</v>
      </c>
      <c r="K7" s="16">
        <v>26</v>
      </c>
      <c r="L7" s="23">
        <v>2810</v>
      </c>
      <c r="M7" s="23">
        <v>2</v>
      </c>
      <c r="N7" s="23">
        <v>82</v>
      </c>
      <c r="O7" s="23">
        <v>51</v>
      </c>
      <c r="P7" s="23">
        <v>1331</v>
      </c>
      <c r="Q7" s="24">
        <v>14.01</v>
      </c>
    </row>
    <row r="8" spans="1:17" ht="20.399999999999999">
      <c r="A8" s="12" t="s">
        <v>16</v>
      </c>
      <c r="B8" s="13">
        <v>85</v>
      </c>
      <c r="C8" s="13">
        <v>8847</v>
      </c>
      <c r="D8" s="14">
        <v>104.08</v>
      </c>
      <c r="E8" s="13">
        <v>962</v>
      </c>
      <c r="F8" s="13">
        <v>408</v>
      </c>
      <c r="G8" s="15">
        <v>5</v>
      </c>
      <c r="H8" s="13">
        <v>102</v>
      </c>
      <c r="I8" s="13">
        <v>1</v>
      </c>
      <c r="J8" s="13">
        <v>6</v>
      </c>
      <c r="K8" s="16">
        <v>30</v>
      </c>
      <c r="L8" s="23">
        <v>2561</v>
      </c>
      <c r="M8" s="23">
        <v>3</v>
      </c>
      <c r="N8" s="23">
        <v>74</v>
      </c>
      <c r="O8" s="23">
        <v>43</v>
      </c>
      <c r="P8" s="23">
        <v>909</v>
      </c>
      <c r="Q8" s="24">
        <v>10.69</v>
      </c>
    </row>
    <row r="9" spans="1:17">
      <c r="A9" s="12" t="s">
        <v>17</v>
      </c>
      <c r="B9" s="13">
        <v>70</v>
      </c>
      <c r="C9" s="13">
        <v>7830</v>
      </c>
      <c r="D9" s="14">
        <v>111.85</v>
      </c>
      <c r="E9" s="13">
        <v>1234</v>
      </c>
      <c r="F9" s="13">
        <v>438</v>
      </c>
      <c r="G9" s="15">
        <v>6</v>
      </c>
      <c r="H9" s="13">
        <v>172</v>
      </c>
      <c r="I9" s="13">
        <v>2</v>
      </c>
      <c r="J9" s="13">
        <v>9</v>
      </c>
      <c r="K9" s="16">
        <v>29</v>
      </c>
      <c r="L9" s="23">
        <v>2269</v>
      </c>
      <c r="M9" s="23">
        <v>2</v>
      </c>
      <c r="N9" s="23">
        <v>84</v>
      </c>
      <c r="O9" s="23">
        <v>43</v>
      </c>
      <c r="P9" s="23">
        <v>856</v>
      </c>
      <c r="Q9" s="24">
        <v>12.23</v>
      </c>
    </row>
    <row r="10" spans="1:17">
      <c r="A10" s="12" t="s">
        <v>18</v>
      </c>
      <c r="B10" s="13">
        <v>70</v>
      </c>
      <c r="C10" s="13">
        <v>8135</v>
      </c>
      <c r="D10" s="14">
        <v>116.22</v>
      </c>
      <c r="E10" s="13">
        <v>1247</v>
      </c>
      <c r="F10" s="13">
        <v>233</v>
      </c>
      <c r="G10" s="15">
        <v>3</v>
      </c>
      <c r="H10" s="13">
        <v>34</v>
      </c>
      <c r="I10" s="13">
        <v>0</v>
      </c>
      <c r="J10" s="13">
        <v>1</v>
      </c>
      <c r="K10" s="16">
        <v>27</v>
      </c>
      <c r="L10" s="23">
        <v>2103</v>
      </c>
      <c r="M10" s="23">
        <v>0</v>
      </c>
      <c r="N10" s="23">
        <v>60</v>
      </c>
      <c r="O10" s="23">
        <v>39</v>
      </c>
      <c r="P10" s="23">
        <v>846</v>
      </c>
      <c r="Q10" s="24">
        <v>12.09</v>
      </c>
    </row>
    <row r="11" spans="1:17" ht="20.399999999999999">
      <c r="A11" s="12" t="s">
        <v>19</v>
      </c>
      <c r="B11" s="13">
        <v>62</v>
      </c>
      <c r="C11" s="13">
        <v>6139</v>
      </c>
      <c r="D11" s="14">
        <v>99.01</v>
      </c>
      <c r="E11" s="13">
        <v>848</v>
      </c>
      <c r="F11" s="13">
        <v>319</v>
      </c>
      <c r="G11" s="15">
        <v>5</v>
      </c>
      <c r="H11" s="13">
        <v>152</v>
      </c>
      <c r="I11" s="13">
        <v>2</v>
      </c>
      <c r="J11" s="13">
        <v>8</v>
      </c>
      <c r="K11" s="16">
        <v>29</v>
      </c>
      <c r="L11" s="23">
        <v>1891</v>
      </c>
      <c r="M11" s="23">
        <v>3</v>
      </c>
      <c r="N11" s="23">
        <v>71</v>
      </c>
      <c r="O11" s="23">
        <v>41</v>
      </c>
      <c r="P11" s="23">
        <v>582</v>
      </c>
      <c r="Q11" s="24">
        <v>9.39</v>
      </c>
    </row>
    <row r="12" spans="1:17" ht="20.399999999999999">
      <c r="A12" s="12" t="s">
        <v>20</v>
      </c>
      <c r="B12" s="13">
        <v>33</v>
      </c>
      <c r="C12" s="13">
        <v>3172</v>
      </c>
      <c r="D12" s="14">
        <v>96.17</v>
      </c>
      <c r="E12" s="13">
        <v>462</v>
      </c>
      <c r="F12" s="13">
        <v>139</v>
      </c>
      <c r="G12" s="15">
        <v>4</v>
      </c>
      <c r="H12" s="13">
        <v>11</v>
      </c>
      <c r="I12" s="13">
        <v>0</v>
      </c>
      <c r="J12" s="13">
        <v>1</v>
      </c>
      <c r="K12" s="16">
        <v>29</v>
      </c>
      <c r="L12" s="23">
        <v>909</v>
      </c>
      <c r="M12" s="23">
        <v>4</v>
      </c>
      <c r="N12" s="23">
        <v>21</v>
      </c>
      <c r="O12" s="23">
        <v>17</v>
      </c>
      <c r="P12" s="23">
        <v>321</v>
      </c>
      <c r="Q12" s="24">
        <v>9.7200000000000006</v>
      </c>
    </row>
    <row r="13" spans="1:17">
      <c r="A13" s="12" t="s">
        <v>21</v>
      </c>
      <c r="B13" s="13">
        <v>25</v>
      </c>
      <c r="C13" s="13">
        <v>2843</v>
      </c>
      <c r="D13" s="14">
        <v>113.57</v>
      </c>
      <c r="E13" s="13">
        <v>572</v>
      </c>
      <c r="F13" s="13">
        <v>129</v>
      </c>
      <c r="G13" s="15">
        <v>5</v>
      </c>
      <c r="H13" s="13">
        <v>5</v>
      </c>
      <c r="I13" s="13">
        <v>0</v>
      </c>
      <c r="J13" s="13">
        <v>0</v>
      </c>
      <c r="K13" s="16">
        <v>25</v>
      </c>
      <c r="L13" s="23">
        <v>753</v>
      </c>
      <c r="M13" s="23">
        <v>0</v>
      </c>
      <c r="N13" s="23">
        <v>19</v>
      </c>
      <c r="O13" s="23">
        <v>12</v>
      </c>
      <c r="P13" s="23">
        <v>289</v>
      </c>
      <c r="Q13" s="24">
        <v>11.55</v>
      </c>
    </row>
    <row r="14" spans="1:17">
      <c r="A14" s="12" t="s">
        <v>22</v>
      </c>
      <c r="B14" s="13">
        <v>25</v>
      </c>
      <c r="C14" s="13">
        <v>2873</v>
      </c>
      <c r="D14" s="14">
        <v>114.76</v>
      </c>
      <c r="E14" s="13">
        <v>361</v>
      </c>
      <c r="F14" s="13">
        <v>102</v>
      </c>
      <c r="G14" s="15">
        <v>4</v>
      </c>
      <c r="H14" s="13">
        <v>32</v>
      </c>
      <c r="I14" s="13">
        <v>1</v>
      </c>
      <c r="J14" s="13">
        <v>3</v>
      </c>
      <c r="K14" s="16">
        <v>27</v>
      </c>
      <c r="L14" s="23">
        <v>782</v>
      </c>
      <c r="M14" s="23">
        <v>0</v>
      </c>
      <c r="N14" s="23">
        <v>15</v>
      </c>
      <c r="O14" s="23">
        <v>12</v>
      </c>
      <c r="P14" s="23">
        <v>293</v>
      </c>
      <c r="Q14" s="24">
        <v>11.7</v>
      </c>
    </row>
    <row r="15" spans="1:17">
      <c r="A15" s="12" t="s">
        <v>23</v>
      </c>
      <c r="B15" s="13">
        <v>10</v>
      </c>
      <c r="C15" s="13">
        <v>1011</v>
      </c>
      <c r="D15" s="14">
        <v>101.56</v>
      </c>
      <c r="E15" s="13">
        <v>166</v>
      </c>
      <c r="F15" s="13">
        <v>63</v>
      </c>
      <c r="G15" s="15">
        <v>6</v>
      </c>
      <c r="H15" s="13">
        <v>0</v>
      </c>
      <c r="I15" s="13">
        <v>0</v>
      </c>
      <c r="J15" s="13">
        <v>0</v>
      </c>
      <c r="K15" s="16">
        <v>23</v>
      </c>
      <c r="L15" s="23">
        <v>302</v>
      </c>
      <c r="M15" s="23">
        <v>1</v>
      </c>
      <c r="N15" s="23">
        <v>10</v>
      </c>
      <c r="O15" s="23">
        <v>4</v>
      </c>
      <c r="P15" s="23">
        <v>106</v>
      </c>
      <c r="Q15" s="24">
        <v>10.66</v>
      </c>
    </row>
    <row r="16" spans="1:17">
      <c r="A16" s="17" t="s">
        <v>24</v>
      </c>
      <c r="B16" s="18">
        <f>AVERAGE(B2:B8)</f>
        <v>93.571428571428569</v>
      </c>
      <c r="C16" s="76">
        <f t="shared" ref="C16:Q16" si="0">AVERAGE(C2:C8)</f>
        <v>9442.7142857142862</v>
      </c>
      <c r="D16" s="76">
        <f t="shared" si="0"/>
        <v>100.96285714285715</v>
      </c>
      <c r="E16" s="76">
        <f t="shared" si="0"/>
        <v>1046.7142857142858</v>
      </c>
      <c r="F16" s="76">
        <f t="shared" si="0"/>
        <v>380.85714285714283</v>
      </c>
      <c r="G16" s="76">
        <f t="shared" si="0"/>
        <v>4.2857142857142856</v>
      </c>
      <c r="H16" s="76">
        <f t="shared" si="0"/>
        <v>133.71428571428572</v>
      </c>
      <c r="I16" s="76">
        <f t="shared" si="0"/>
        <v>1.2857142857142858</v>
      </c>
      <c r="J16" s="76">
        <f t="shared" si="0"/>
        <v>7.2857142857142856</v>
      </c>
      <c r="K16" s="76">
        <f t="shared" si="0"/>
        <v>28.714285714285715</v>
      </c>
      <c r="L16" s="76">
        <f t="shared" si="0"/>
        <v>2653.5714285714284</v>
      </c>
      <c r="M16" s="76">
        <f t="shared" si="0"/>
        <v>2.1428571428571428</v>
      </c>
      <c r="N16" s="76">
        <f t="shared" si="0"/>
        <v>68.571428571428569</v>
      </c>
      <c r="O16" s="76">
        <f t="shared" si="0"/>
        <v>52.714285714285715</v>
      </c>
      <c r="P16" s="76">
        <f t="shared" si="0"/>
        <v>954.28571428571433</v>
      </c>
      <c r="Q16" s="76">
        <f t="shared" si="0"/>
        <v>10.207142857142857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3707-2276-459D-B9AA-B34217EBABDD}">
  <dimension ref="A1:Q12"/>
  <sheetViews>
    <sheetView workbookViewId="0">
      <selection activeCell="L1" sqref="L1:Q12"/>
    </sheetView>
  </sheetViews>
  <sheetFormatPr baseColWidth="10" defaultRowHeight="14.4"/>
  <sheetData>
    <row r="1" spans="1:17" ht="20.399999999999999">
      <c r="A1" s="49"/>
      <c r="B1" s="50" t="s">
        <v>0</v>
      </c>
      <c r="C1" s="51" t="s">
        <v>1</v>
      </c>
      <c r="D1" s="50" t="s">
        <v>2</v>
      </c>
      <c r="E1" s="52" t="s">
        <v>3</v>
      </c>
      <c r="F1" s="52" t="s">
        <v>4</v>
      </c>
      <c r="G1" s="51" t="s">
        <v>5</v>
      </c>
      <c r="H1" s="50" t="s">
        <v>6</v>
      </c>
      <c r="I1" s="53" t="s">
        <v>7</v>
      </c>
      <c r="J1" s="51" t="s">
        <v>8</v>
      </c>
      <c r="K1" s="54" t="s">
        <v>9</v>
      </c>
      <c r="L1" s="70" t="s">
        <v>25</v>
      </c>
      <c r="M1" s="70" t="s">
        <v>26</v>
      </c>
      <c r="N1" s="71" t="s">
        <v>27</v>
      </c>
      <c r="O1" s="70" t="s">
        <v>28</v>
      </c>
      <c r="P1" s="70" t="s">
        <v>29</v>
      </c>
      <c r="Q1" s="70" t="s">
        <v>30</v>
      </c>
    </row>
    <row r="2" spans="1:17" ht="20.399999999999999">
      <c r="A2" s="55" t="s">
        <v>10</v>
      </c>
      <c r="B2" s="56">
        <v>46</v>
      </c>
      <c r="C2" s="56">
        <v>4581</v>
      </c>
      <c r="D2" s="57">
        <v>99.59</v>
      </c>
      <c r="E2" s="56">
        <v>528</v>
      </c>
      <c r="F2" s="56">
        <v>204</v>
      </c>
      <c r="G2" s="58">
        <v>4</v>
      </c>
      <c r="H2" s="56">
        <v>54</v>
      </c>
      <c r="I2" s="56">
        <v>1</v>
      </c>
      <c r="J2" s="56">
        <v>4</v>
      </c>
      <c r="K2" s="59">
        <v>26</v>
      </c>
      <c r="L2" s="72">
        <v>1278</v>
      </c>
      <c r="M2" s="72">
        <v>0</v>
      </c>
      <c r="N2" s="72">
        <v>29</v>
      </c>
      <c r="O2" s="72">
        <v>28</v>
      </c>
      <c r="P2" s="72">
        <v>447</v>
      </c>
      <c r="Q2" s="73">
        <v>9.7100000000000009</v>
      </c>
    </row>
    <row r="3" spans="1:17">
      <c r="A3" s="60" t="s">
        <v>17</v>
      </c>
      <c r="B3" s="61">
        <v>46</v>
      </c>
      <c r="C3" s="61">
        <v>5178</v>
      </c>
      <c r="D3" s="62">
        <v>112.58</v>
      </c>
      <c r="E3" s="61">
        <v>814</v>
      </c>
      <c r="F3" s="61">
        <v>285</v>
      </c>
      <c r="G3" s="63">
        <v>6</v>
      </c>
      <c r="H3" s="61">
        <v>105</v>
      </c>
      <c r="I3" s="61">
        <v>2</v>
      </c>
      <c r="J3" s="61">
        <v>6</v>
      </c>
      <c r="K3" s="64">
        <v>29</v>
      </c>
      <c r="L3" s="74">
        <v>1508</v>
      </c>
      <c r="M3" s="74">
        <v>0</v>
      </c>
      <c r="N3" s="74">
        <v>56</v>
      </c>
      <c r="O3" s="74">
        <v>27</v>
      </c>
      <c r="P3" s="74">
        <v>570</v>
      </c>
      <c r="Q3" s="75">
        <v>12.4</v>
      </c>
    </row>
    <row r="4" spans="1:17" ht="20.399999999999999">
      <c r="A4" s="60" t="s">
        <v>11</v>
      </c>
      <c r="B4" s="61">
        <v>46</v>
      </c>
      <c r="C4" s="61">
        <v>4365</v>
      </c>
      <c r="D4" s="62">
        <v>94.89</v>
      </c>
      <c r="E4" s="61">
        <v>375</v>
      </c>
      <c r="F4" s="61">
        <v>48</v>
      </c>
      <c r="G4" s="63">
        <v>1</v>
      </c>
      <c r="H4" s="61">
        <v>0</v>
      </c>
      <c r="I4" s="61">
        <v>0</v>
      </c>
      <c r="J4" s="61">
        <v>0</v>
      </c>
      <c r="K4" s="64">
        <v>24</v>
      </c>
      <c r="L4" s="74">
        <v>1194</v>
      </c>
      <c r="M4" s="74">
        <v>0</v>
      </c>
      <c r="N4" s="74">
        <v>33</v>
      </c>
      <c r="O4" s="74">
        <v>28</v>
      </c>
      <c r="P4" s="74">
        <v>479</v>
      </c>
      <c r="Q4" s="75">
        <v>10.42</v>
      </c>
    </row>
    <row r="5" spans="1:17">
      <c r="A5" s="60" t="s">
        <v>12</v>
      </c>
      <c r="B5" s="61">
        <v>46</v>
      </c>
      <c r="C5" s="61">
        <v>4871</v>
      </c>
      <c r="D5" s="62">
        <v>105.88</v>
      </c>
      <c r="E5" s="61">
        <v>493</v>
      </c>
      <c r="F5" s="61">
        <v>266</v>
      </c>
      <c r="G5" s="63">
        <v>6</v>
      </c>
      <c r="H5" s="61">
        <v>93</v>
      </c>
      <c r="I5" s="61">
        <v>2</v>
      </c>
      <c r="J5" s="61">
        <v>4</v>
      </c>
      <c r="K5" s="64">
        <v>28</v>
      </c>
      <c r="L5" s="74">
        <v>1471</v>
      </c>
      <c r="M5" s="74">
        <v>0</v>
      </c>
      <c r="N5" s="74">
        <v>37</v>
      </c>
      <c r="O5" s="74">
        <v>29</v>
      </c>
      <c r="P5" s="74">
        <v>416</v>
      </c>
      <c r="Q5" s="75">
        <v>9.0399999999999991</v>
      </c>
    </row>
    <row r="6" spans="1:17" ht="20.399999999999999">
      <c r="A6" s="60" t="s">
        <v>13</v>
      </c>
      <c r="B6" s="61">
        <v>46</v>
      </c>
      <c r="C6" s="61">
        <v>4673</v>
      </c>
      <c r="D6" s="62">
        <v>101.58</v>
      </c>
      <c r="E6" s="61">
        <v>468</v>
      </c>
      <c r="F6" s="61">
        <v>154</v>
      </c>
      <c r="G6" s="63">
        <v>3</v>
      </c>
      <c r="H6" s="61">
        <v>38</v>
      </c>
      <c r="I6" s="61">
        <v>1</v>
      </c>
      <c r="J6" s="61">
        <v>1</v>
      </c>
      <c r="K6" s="64">
        <v>30</v>
      </c>
      <c r="L6" s="74">
        <v>1368</v>
      </c>
      <c r="M6" s="74">
        <v>2</v>
      </c>
      <c r="N6" s="74">
        <v>37</v>
      </c>
      <c r="O6" s="74">
        <v>29</v>
      </c>
      <c r="P6" s="74">
        <v>441</v>
      </c>
      <c r="Q6" s="75">
        <v>9.59</v>
      </c>
    </row>
    <row r="7" spans="1:17" ht="20.399999999999999">
      <c r="A7" s="60" t="s">
        <v>14</v>
      </c>
      <c r="B7" s="61">
        <v>46</v>
      </c>
      <c r="C7" s="61">
        <v>4576</v>
      </c>
      <c r="D7" s="62">
        <v>99.48</v>
      </c>
      <c r="E7" s="61">
        <v>502</v>
      </c>
      <c r="F7" s="61">
        <v>164</v>
      </c>
      <c r="G7" s="63">
        <v>4</v>
      </c>
      <c r="H7" s="61">
        <v>125</v>
      </c>
      <c r="I7" s="61">
        <v>3</v>
      </c>
      <c r="J7" s="61">
        <v>6</v>
      </c>
      <c r="K7" s="64">
        <v>29</v>
      </c>
      <c r="L7" s="74">
        <v>1367</v>
      </c>
      <c r="M7" s="74">
        <v>2</v>
      </c>
      <c r="N7" s="74">
        <v>36</v>
      </c>
      <c r="O7" s="74">
        <v>27</v>
      </c>
      <c r="P7" s="74">
        <v>444</v>
      </c>
      <c r="Q7" s="75">
        <v>9.66</v>
      </c>
    </row>
    <row r="8" spans="1:17">
      <c r="A8" s="60" t="s">
        <v>15</v>
      </c>
      <c r="B8" s="61">
        <v>46</v>
      </c>
      <c r="C8" s="61">
        <v>5489</v>
      </c>
      <c r="D8" s="62">
        <v>119.32</v>
      </c>
      <c r="E8" s="61">
        <v>943</v>
      </c>
      <c r="F8" s="61">
        <v>279</v>
      </c>
      <c r="G8" s="63">
        <v>6</v>
      </c>
      <c r="H8" s="61">
        <v>17</v>
      </c>
      <c r="I8" s="61">
        <v>0</v>
      </c>
      <c r="J8" s="61">
        <v>2</v>
      </c>
      <c r="K8" s="64">
        <v>26</v>
      </c>
      <c r="L8" s="74">
        <v>1426</v>
      </c>
      <c r="M8" s="74">
        <v>1</v>
      </c>
      <c r="N8" s="74">
        <v>48</v>
      </c>
      <c r="O8" s="74">
        <v>24</v>
      </c>
      <c r="P8" s="74">
        <v>678</v>
      </c>
      <c r="Q8" s="75">
        <v>14.74</v>
      </c>
    </row>
    <row r="9" spans="1:17">
      <c r="A9" s="60" t="s">
        <v>18</v>
      </c>
      <c r="B9" s="61">
        <v>46</v>
      </c>
      <c r="C9" s="61">
        <v>5360</v>
      </c>
      <c r="D9" s="62">
        <v>116.53</v>
      </c>
      <c r="E9" s="61">
        <v>840</v>
      </c>
      <c r="F9" s="61">
        <v>104</v>
      </c>
      <c r="G9" s="63">
        <v>2</v>
      </c>
      <c r="H9" s="61">
        <v>3</v>
      </c>
      <c r="I9" s="61">
        <v>0</v>
      </c>
      <c r="J9" s="61">
        <v>0</v>
      </c>
      <c r="K9" s="64">
        <v>25</v>
      </c>
      <c r="L9" s="74">
        <v>1416</v>
      </c>
      <c r="M9" s="74">
        <v>0</v>
      </c>
      <c r="N9" s="74">
        <v>41</v>
      </c>
      <c r="O9" s="74">
        <v>27</v>
      </c>
      <c r="P9" s="74">
        <v>569</v>
      </c>
      <c r="Q9" s="75">
        <v>12.38</v>
      </c>
    </row>
    <row r="10" spans="1:17" ht="20.399999999999999">
      <c r="A10" s="60" t="s">
        <v>16</v>
      </c>
      <c r="B10" s="61">
        <v>46</v>
      </c>
      <c r="C10" s="61">
        <v>4767</v>
      </c>
      <c r="D10" s="62">
        <v>103.63</v>
      </c>
      <c r="E10" s="61">
        <v>462</v>
      </c>
      <c r="F10" s="61">
        <v>208</v>
      </c>
      <c r="G10" s="63">
        <v>5</v>
      </c>
      <c r="H10" s="61">
        <v>48</v>
      </c>
      <c r="I10" s="61">
        <v>1</v>
      </c>
      <c r="J10" s="61">
        <v>3</v>
      </c>
      <c r="K10" s="64">
        <v>30</v>
      </c>
      <c r="L10" s="74">
        <v>1421</v>
      </c>
      <c r="M10" s="74">
        <v>1</v>
      </c>
      <c r="N10" s="74">
        <v>37</v>
      </c>
      <c r="O10" s="74">
        <v>25</v>
      </c>
      <c r="P10" s="74">
        <v>498</v>
      </c>
      <c r="Q10" s="75">
        <v>10.82</v>
      </c>
    </row>
    <row r="11" spans="1:17" ht="20.399999999999999">
      <c r="A11" s="60" t="s">
        <v>19</v>
      </c>
      <c r="B11" s="61">
        <v>46</v>
      </c>
      <c r="C11" s="61">
        <v>4434</v>
      </c>
      <c r="D11" s="62">
        <v>96.38</v>
      </c>
      <c r="E11" s="61">
        <v>600</v>
      </c>
      <c r="F11" s="61">
        <v>210</v>
      </c>
      <c r="G11" s="63">
        <v>5</v>
      </c>
      <c r="H11" s="61">
        <v>112</v>
      </c>
      <c r="I11" s="61">
        <v>2</v>
      </c>
      <c r="J11" s="61">
        <v>6</v>
      </c>
      <c r="K11" s="64">
        <v>29</v>
      </c>
      <c r="L11" s="74">
        <v>1392</v>
      </c>
      <c r="M11" s="74">
        <v>2</v>
      </c>
      <c r="N11" s="74">
        <v>54</v>
      </c>
      <c r="O11" s="74">
        <v>31</v>
      </c>
      <c r="P11" s="74">
        <v>414</v>
      </c>
      <c r="Q11" s="75">
        <v>8.99</v>
      </c>
    </row>
    <row r="12" spans="1:17">
      <c r="A12" s="65" t="s">
        <v>24</v>
      </c>
      <c r="B12" s="66">
        <v>46</v>
      </c>
      <c r="C12" s="66">
        <v>4829</v>
      </c>
      <c r="D12" s="67">
        <v>104.99</v>
      </c>
      <c r="E12" s="66">
        <v>602</v>
      </c>
      <c r="F12" s="66">
        <v>192</v>
      </c>
      <c r="G12" s="68">
        <v>4</v>
      </c>
      <c r="H12" s="66">
        <v>60</v>
      </c>
      <c r="I12" s="66">
        <v>1</v>
      </c>
      <c r="J12" s="66">
        <v>3</v>
      </c>
      <c r="K12" s="69">
        <v>28</v>
      </c>
      <c r="L12" s="76">
        <v>1384</v>
      </c>
      <c r="M12" s="76">
        <v>1</v>
      </c>
      <c r="N12" s="76">
        <v>41</v>
      </c>
      <c r="O12" s="76">
        <v>28</v>
      </c>
      <c r="P12" s="76">
        <v>496</v>
      </c>
      <c r="Q12" s="77">
        <v>10.78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A8BB-0AD8-47E5-B4EF-FC0B52B99C5B}">
  <dimension ref="A1:Q16"/>
  <sheetViews>
    <sheetView workbookViewId="0">
      <selection activeCell="B16" sqref="B16:Q16"/>
    </sheetView>
  </sheetViews>
  <sheetFormatPr baseColWidth="10" defaultRowHeight="14.4"/>
  <sheetData>
    <row r="1" spans="1:17" ht="20.399999999999999">
      <c r="A1" s="25"/>
      <c r="B1" s="26" t="s">
        <v>0</v>
      </c>
      <c r="C1" s="27" t="s">
        <v>1</v>
      </c>
      <c r="D1" s="26" t="s">
        <v>2</v>
      </c>
      <c r="E1" s="28" t="s">
        <v>3</v>
      </c>
      <c r="F1" s="28" t="s">
        <v>4</v>
      </c>
      <c r="G1" s="27" t="s">
        <v>5</v>
      </c>
      <c r="H1" s="26" t="s">
        <v>6</v>
      </c>
      <c r="I1" s="29" t="s">
        <v>7</v>
      </c>
      <c r="J1" s="27" t="s">
        <v>8</v>
      </c>
      <c r="K1" s="30" t="s">
        <v>9</v>
      </c>
      <c r="L1" s="43" t="s">
        <v>25</v>
      </c>
      <c r="M1" s="43" t="s">
        <v>26</v>
      </c>
      <c r="N1" s="44" t="s">
        <v>27</v>
      </c>
      <c r="O1" s="43" t="s">
        <v>28</v>
      </c>
      <c r="P1" s="43" t="s">
        <v>29</v>
      </c>
      <c r="Q1" s="43" t="s">
        <v>30</v>
      </c>
    </row>
    <row r="2" spans="1:17" ht="20.399999999999999">
      <c r="A2" s="31" t="s">
        <v>10</v>
      </c>
      <c r="B2" s="32">
        <v>49</v>
      </c>
      <c r="C2" s="32">
        <v>4369</v>
      </c>
      <c r="D2" s="33">
        <v>89.17</v>
      </c>
      <c r="E2" s="32">
        <v>380</v>
      </c>
      <c r="F2" s="32">
        <v>158</v>
      </c>
      <c r="G2" s="34">
        <v>3</v>
      </c>
      <c r="H2" s="32">
        <v>111</v>
      </c>
      <c r="I2" s="32">
        <v>2</v>
      </c>
      <c r="J2" s="32">
        <v>7</v>
      </c>
      <c r="K2" s="35">
        <v>29</v>
      </c>
      <c r="L2" s="45">
        <v>1256</v>
      </c>
      <c r="M2" s="45">
        <v>0</v>
      </c>
      <c r="N2" s="45">
        <v>33</v>
      </c>
      <c r="O2" s="45">
        <v>25</v>
      </c>
      <c r="P2" s="45">
        <v>425</v>
      </c>
      <c r="Q2" s="46">
        <v>8.67</v>
      </c>
    </row>
    <row r="3" spans="1:17" ht="20.399999999999999">
      <c r="A3" s="36" t="s">
        <v>11</v>
      </c>
      <c r="B3" s="37">
        <v>49</v>
      </c>
      <c r="C3" s="37">
        <v>3939</v>
      </c>
      <c r="D3" s="38">
        <v>80.39</v>
      </c>
      <c r="E3" s="37">
        <v>230</v>
      </c>
      <c r="F3" s="37">
        <v>78</v>
      </c>
      <c r="G3" s="39">
        <v>2</v>
      </c>
      <c r="H3" s="37">
        <v>10</v>
      </c>
      <c r="I3" s="37">
        <v>0</v>
      </c>
      <c r="J3" s="37">
        <v>1</v>
      </c>
      <c r="K3" s="40">
        <v>26</v>
      </c>
      <c r="L3" s="47">
        <v>1128</v>
      </c>
      <c r="M3" s="47">
        <v>0</v>
      </c>
      <c r="N3" s="47">
        <v>30</v>
      </c>
      <c r="O3" s="47">
        <v>24</v>
      </c>
      <c r="P3" s="47">
        <v>418</v>
      </c>
      <c r="Q3" s="48">
        <v>8.5299999999999994</v>
      </c>
    </row>
    <row r="4" spans="1:17">
      <c r="A4" s="36" t="s">
        <v>12</v>
      </c>
      <c r="B4" s="37">
        <v>49</v>
      </c>
      <c r="C4" s="37">
        <v>4799</v>
      </c>
      <c r="D4" s="38">
        <v>97.93</v>
      </c>
      <c r="E4" s="37">
        <v>391</v>
      </c>
      <c r="F4" s="37">
        <v>167</v>
      </c>
      <c r="G4" s="39">
        <v>3</v>
      </c>
      <c r="H4" s="37">
        <v>115</v>
      </c>
      <c r="I4" s="37">
        <v>2</v>
      </c>
      <c r="J4" s="37">
        <v>6</v>
      </c>
      <c r="K4" s="40">
        <v>30</v>
      </c>
      <c r="L4" s="47">
        <v>1403</v>
      </c>
      <c r="M4" s="47">
        <v>0</v>
      </c>
      <c r="N4" s="47">
        <v>30</v>
      </c>
      <c r="O4" s="47">
        <v>26</v>
      </c>
      <c r="P4" s="47">
        <v>397</v>
      </c>
      <c r="Q4" s="48">
        <v>8.1</v>
      </c>
    </row>
    <row r="5" spans="1:17" ht="20.399999999999999">
      <c r="A5" s="36" t="s">
        <v>13</v>
      </c>
      <c r="B5" s="37">
        <v>49</v>
      </c>
      <c r="C5" s="37">
        <v>5103</v>
      </c>
      <c r="D5" s="38">
        <v>104.14</v>
      </c>
      <c r="E5" s="37">
        <v>572</v>
      </c>
      <c r="F5" s="37">
        <v>302</v>
      </c>
      <c r="G5" s="39">
        <v>6</v>
      </c>
      <c r="H5" s="37">
        <v>83</v>
      </c>
      <c r="I5" s="37">
        <v>2</v>
      </c>
      <c r="J5" s="37">
        <v>5</v>
      </c>
      <c r="K5" s="40">
        <v>28</v>
      </c>
      <c r="L5" s="47">
        <v>1398</v>
      </c>
      <c r="M5" s="47">
        <v>4</v>
      </c>
      <c r="N5" s="47">
        <v>32</v>
      </c>
      <c r="O5" s="47">
        <v>32</v>
      </c>
      <c r="P5" s="47">
        <v>487</v>
      </c>
      <c r="Q5" s="48">
        <v>9.93</v>
      </c>
    </row>
    <row r="6" spans="1:17" ht="20.399999999999999">
      <c r="A6" s="36" t="s">
        <v>14</v>
      </c>
      <c r="B6" s="37">
        <v>49</v>
      </c>
      <c r="C6" s="37">
        <v>5042</v>
      </c>
      <c r="D6" s="38">
        <v>102.9</v>
      </c>
      <c r="E6" s="37">
        <v>588</v>
      </c>
      <c r="F6" s="37">
        <v>178</v>
      </c>
      <c r="G6" s="39">
        <v>4</v>
      </c>
      <c r="H6" s="37">
        <v>166</v>
      </c>
      <c r="I6" s="37">
        <v>3</v>
      </c>
      <c r="J6" s="37">
        <v>8</v>
      </c>
      <c r="K6" s="40">
        <v>30</v>
      </c>
      <c r="L6" s="47">
        <v>1341</v>
      </c>
      <c r="M6" s="47">
        <v>2</v>
      </c>
      <c r="N6" s="47">
        <v>27</v>
      </c>
      <c r="O6" s="47">
        <v>27</v>
      </c>
      <c r="P6" s="47">
        <v>487</v>
      </c>
      <c r="Q6" s="48">
        <v>9.93</v>
      </c>
    </row>
    <row r="7" spans="1:17">
      <c r="A7" s="36" t="s">
        <v>15</v>
      </c>
      <c r="B7" s="37">
        <v>49</v>
      </c>
      <c r="C7" s="37">
        <v>5446</v>
      </c>
      <c r="D7" s="38">
        <v>111.13</v>
      </c>
      <c r="E7" s="37">
        <v>895</v>
      </c>
      <c r="F7" s="37">
        <v>259</v>
      </c>
      <c r="G7" s="39">
        <v>5</v>
      </c>
      <c r="H7" s="37">
        <v>21</v>
      </c>
      <c r="I7" s="37">
        <v>0</v>
      </c>
      <c r="J7" s="37">
        <v>1</v>
      </c>
      <c r="K7" s="40">
        <v>26</v>
      </c>
      <c r="L7" s="47">
        <v>1384</v>
      </c>
      <c r="M7" s="47">
        <v>1</v>
      </c>
      <c r="N7" s="47">
        <v>34</v>
      </c>
      <c r="O7" s="47">
        <v>27</v>
      </c>
      <c r="P7" s="47">
        <v>653</v>
      </c>
      <c r="Q7" s="48">
        <v>13.33</v>
      </c>
    </row>
    <row r="8" spans="1:17" ht="20.399999999999999">
      <c r="A8" s="36" t="s">
        <v>16</v>
      </c>
      <c r="B8" s="37">
        <v>39</v>
      </c>
      <c r="C8" s="37">
        <v>4080</v>
      </c>
      <c r="D8" s="38">
        <v>104.61</v>
      </c>
      <c r="E8" s="37">
        <v>500</v>
      </c>
      <c r="F8" s="37">
        <v>200</v>
      </c>
      <c r="G8" s="39">
        <v>5</v>
      </c>
      <c r="H8" s="37">
        <v>54</v>
      </c>
      <c r="I8" s="37">
        <v>1</v>
      </c>
      <c r="J8" s="37">
        <v>3</v>
      </c>
      <c r="K8" s="40">
        <v>29</v>
      </c>
      <c r="L8" s="47">
        <v>1140</v>
      </c>
      <c r="M8" s="47">
        <v>2</v>
      </c>
      <c r="N8" s="47">
        <v>37</v>
      </c>
      <c r="O8" s="47">
        <v>18</v>
      </c>
      <c r="P8" s="47">
        <v>411</v>
      </c>
      <c r="Q8" s="48">
        <v>10.54</v>
      </c>
    </row>
    <row r="9" spans="1:17" ht="20.399999999999999">
      <c r="A9" s="36" t="s">
        <v>20</v>
      </c>
      <c r="B9" s="37">
        <v>33</v>
      </c>
      <c r="C9" s="37">
        <v>3172</v>
      </c>
      <c r="D9" s="38">
        <v>96.17</v>
      </c>
      <c r="E9" s="37">
        <v>462</v>
      </c>
      <c r="F9" s="37">
        <v>139</v>
      </c>
      <c r="G9" s="39">
        <v>4</v>
      </c>
      <c r="H9" s="37">
        <v>11</v>
      </c>
      <c r="I9" s="37">
        <v>0</v>
      </c>
      <c r="J9" s="37">
        <v>1</v>
      </c>
      <c r="K9" s="40">
        <v>29</v>
      </c>
      <c r="L9" s="47">
        <v>909</v>
      </c>
      <c r="M9" s="47">
        <v>4</v>
      </c>
      <c r="N9" s="47">
        <v>21</v>
      </c>
      <c r="O9" s="47">
        <v>17</v>
      </c>
      <c r="P9" s="47">
        <v>321</v>
      </c>
      <c r="Q9" s="48">
        <v>9.7200000000000006</v>
      </c>
    </row>
    <row r="10" spans="1:17">
      <c r="A10" s="36" t="s">
        <v>21</v>
      </c>
      <c r="B10" s="37">
        <v>25</v>
      </c>
      <c r="C10" s="37">
        <v>2843</v>
      </c>
      <c r="D10" s="38">
        <v>113.57</v>
      </c>
      <c r="E10" s="37">
        <v>572</v>
      </c>
      <c r="F10" s="37">
        <v>129</v>
      </c>
      <c r="G10" s="39">
        <v>5</v>
      </c>
      <c r="H10" s="37">
        <v>5</v>
      </c>
      <c r="I10" s="37">
        <v>0</v>
      </c>
      <c r="J10" s="37">
        <v>0</v>
      </c>
      <c r="K10" s="40">
        <v>25</v>
      </c>
      <c r="L10" s="47">
        <v>753</v>
      </c>
      <c r="M10" s="47">
        <v>0</v>
      </c>
      <c r="N10" s="47">
        <v>19</v>
      </c>
      <c r="O10" s="47">
        <v>12</v>
      </c>
      <c r="P10" s="47">
        <v>289</v>
      </c>
      <c r="Q10" s="48">
        <v>11.55</v>
      </c>
    </row>
    <row r="11" spans="1:17">
      <c r="A11" s="36" t="s">
        <v>22</v>
      </c>
      <c r="B11" s="37">
        <v>25</v>
      </c>
      <c r="C11" s="37">
        <v>2873</v>
      </c>
      <c r="D11" s="38">
        <v>114.76</v>
      </c>
      <c r="E11" s="37">
        <v>361</v>
      </c>
      <c r="F11" s="37">
        <v>102</v>
      </c>
      <c r="G11" s="39">
        <v>4</v>
      </c>
      <c r="H11" s="37">
        <v>32</v>
      </c>
      <c r="I11" s="37">
        <v>1</v>
      </c>
      <c r="J11" s="37">
        <v>3</v>
      </c>
      <c r="K11" s="40">
        <v>27</v>
      </c>
      <c r="L11" s="47">
        <v>782</v>
      </c>
      <c r="M11" s="47">
        <v>0</v>
      </c>
      <c r="N11" s="47">
        <v>15</v>
      </c>
      <c r="O11" s="47">
        <v>12</v>
      </c>
      <c r="P11" s="47">
        <v>293</v>
      </c>
      <c r="Q11" s="48">
        <v>11.7</v>
      </c>
    </row>
    <row r="12" spans="1:17">
      <c r="A12" s="36" t="s">
        <v>17</v>
      </c>
      <c r="B12" s="37">
        <v>24</v>
      </c>
      <c r="C12" s="37">
        <v>2651</v>
      </c>
      <c r="D12" s="38">
        <v>110.47</v>
      </c>
      <c r="E12" s="37">
        <v>421</v>
      </c>
      <c r="F12" s="37">
        <v>153</v>
      </c>
      <c r="G12" s="39">
        <v>6</v>
      </c>
      <c r="H12" s="37">
        <v>66</v>
      </c>
      <c r="I12" s="37">
        <v>3</v>
      </c>
      <c r="J12" s="37">
        <v>3</v>
      </c>
      <c r="K12" s="40">
        <v>29</v>
      </c>
      <c r="L12" s="47">
        <v>761</v>
      </c>
      <c r="M12" s="47">
        <v>2</v>
      </c>
      <c r="N12" s="47">
        <v>28</v>
      </c>
      <c r="O12" s="47">
        <v>16</v>
      </c>
      <c r="P12" s="47">
        <v>286</v>
      </c>
      <c r="Q12" s="48">
        <v>11.91</v>
      </c>
    </row>
    <row r="13" spans="1:17">
      <c r="A13" s="36" t="s">
        <v>18</v>
      </c>
      <c r="B13" s="37">
        <v>24</v>
      </c>
      <c r="C13" s="37">
        <v>2775</v>
      </c>
      <c r="D13" s="38">
        <v>115.62</v>
      </c>
      <c r="E13" s="37">
        <v>406</v>
      </c>
      <c r="F13" s="37">
        <v>129</v>
      </c>
      <c r="G13" s="39">
        <v>5</v>
      </c>
      <c r="H13" s="37">
        <v>31</v>
      </c>
      <c r="I13" s="37">
        <v>1</v>
      </c>
      <c r="J13" s="37">
        <v>1</v>
      </c>
      <c r="K13" s="40">
        <v>27</v>
      </c>
      <c r="L13" s="47">
        <v>688</v>
      </c>
      <c r="M13" s="47">
        <v>0</v>
      </c>
      <c r="N13" s="47">
        <v>19</v>
      </c>
      <c r="O13" s="47">
        <v>12</v>
      </c>
      <c r="P13" s="47">
        <v>277</v>
      </c>
      <c r="Q13" s="48">
        <v>11.53</v>
      </c>
    </row>
    <row r="14" spans="1:17" ht="20.399999999999999">
      <c r="A14" s="36" t="s">
        <v>19</v>
      </c>
      <c r="B14" s="37">
        <v>16</v>
      </c>
      <c r="C14" s="37">
        <v>1705</v>
      </c>
      <c r="D14" s="38">
        <v>106.58</v>
      </c>
      <c r="E14" s="37">
        <v>249</v>
      </c>
      <c r="F14" s="37">
        <v>109</v>
      </c>
      <c r="G14" s="39">
        <v>7</v>
      </c>
      <c r="H14" s="37">
        <v>40</v>
      </c>
      <c r="I14" s="37">
        <v>2</v>
      </c>
      <c r="J14" s="37">
        <v>2</v>
      </c>
      <c r="K14" s="40">
        <v>29</v>
      </c>
      <c r="L14" s="47">
        <v>499</v>
      </c>
      <c r="M14" s="47">
        <v>1</v>
      </c>
      <c r="N14" s="47">
        <v>17</v>
      </c>
      <c r="O14" s="47">
        <v>10</v>
      </c>
      <c r="P14" s="47">
        <v>168</v>
      </c>
      <c r="Q14" s="48">
        <v>10.52</v>
      </c>
    </row>
    <row r="15" spans="1:17">
      <c r="A15" s="36" t="s">
        <v>23</v>
      </c>
      <c r="B15" s="37">
        <v>10</v>
      </c>
      <c r="C15" s="37">
        <v>1011</v>
      </c>
      <c r="D15" s="38">
        <v>101.56</v>
      </c>
      <c r="E15" s="37">
        <v>166</v>
      </c>
      <c r="F15" s="37">
        <v>63</v>
      </c>
      <c r="G15" s="39">
        <v>6</v>
      </c>
      <c r="H15" s="37">
        <v>0</v>
      </c>
      <c r="I15" s="37">
        <v>0</v>
      </c>
      <c r="J15" s="37">
        <v>0</v>
      </c>
      <c r="K15" s="40">
        <v>23</v>
      </c>
      <c r="L15" s="47">
        <v>302</v>
      </c>
      <c r="M15" s="47">
        <v>1</v>
      </c>
      <c r="N15" s="47">
        <v>10</v>
      </c>
      <c r="O15" s="47">
        <v>4</v>
      </c>
      <c r="P15" s="47">
        <v>106</v>
      </c>
      <c r="Q15" s="48">
        <v>10.66</v>
      </c>
    </row>
    <row r="16" spans="1:17">
      <c r="A16" s="41" t="s">
        <v>24</v>
      </c>
      <c r="B16" s="42">
        <f>AVERAGE(B2:B8)</f>
        <v>47.571428571428569</v>
      </c>
      <c r="C16" s="76">
        <f t="shared" ref="C16:Q16" si="0">AVERAGE(C2:C8)</f>
        <v>4682.5714285714284</v>
      </c>
      <c r="D16" s="76">
        <f t="shared" si="0"/>
        <v>98.61</v>
      </c>
      <c r="E16" s="76">
        <f t="shared" si="0"/>
        <v>508</v>
      </c>
      <c r="F16" s="76">
        <f t="shared" si="0"/>
        <v>191.71428571428572</v>
      </c>
      <c r="G16" s="76">
        <f t="shared" si="0"/>
        <v>4</v>
      </c>
      <c r="H16" s="76">
        <f t="shared" si="0"/>
        <v>80</v>
      </c>
      <c r="I16" s="76">
        <f t="shared" si="0"/>
        <v>1.4285714285714286</v>
      </c>
      <c r="J16" s="76">
        <f t="shared" si="0"/>
        <v>4.4285714285714288</v>
      </c>
      <c r="K16" s="76">
        <f t="shared" si="0"/>
        <v>28.285714285714285</v>
      </c>
      <c r="L16" s="76">
        <f t="shared" si="0"/>
        <v>1292.8571428571429</v>
      </c>
      <c r="M16" s="76">
        <f t="shared" si="0"/>
        <v>1.2857142857142858</v>
      </c>
      <c r="N16" s="76">
        <f t="shared" si="0"/>
        <v>31.857142857142858</v>
      </c>
      <c r="O16" s="76">
        <f t="shared" si="0"/>
        <v>25.571428571428573</v>
      </c>
      <c r="P16" s="76">
        <f t="shared" si="0"/>
        <v>468.28571428571428</v>
      </c>
      <c r="Q16" s="76">
        <f t="shared" si="0"/>
        <v>9.8614285714285721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PT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2026-08-02T23:27:46Z</dcterms:created>
  <dcterms:modified xsi:type="dcterms:W3CDTF">2026-08-02T23:29:54Z</dcterms:modified>
</cp:coreProperties>
</file>